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icolas.contreras\Downloads\"/>
    </mc:Choice>
  </mc:AlternateContent>
  <bookViews>
    <workbookView xWindow="0" yWindow="0" windowWidth="28800" windowHeight="12210" activeTab="1"/>
  </bookViews>
  <sheets>
    <sheet name="Datos Infraestructura" sheetId="1" r:id="rId1"/>
    <sheet name="Grafico Infraestrucura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mC+O0Y6x7UVEj9G7gI/kcj1loIf+HKVzX3Wf9GXhFg=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<sst xmlns="http://schemas.openxmlformats.org/spreadsheetml/2006/main" count="52" uniqueCount="31">
  <si>
    <t>Presupuesto</t>
  </si>
  <si>
    <t>$ HH</t>
  </si>
  <si>
    <t>HH</t>
  </si>
  <si>
    <t>Cloud</t>
  </si>
  <si>
    <t>Meses</t>
  </si>
  <si>
    <t>Activides</t>
  </si>
  <si>
    <t>Tareas</t>
  </si>
  <si>
    <t>Peso (Esfuerzo)</t>
  </si>
  <si>
    <t>HH Planificadas</t>
  </si>
  <si>
    <t>HH Real</t>
  </si>
  <si>
    <t>Avance fisico Planificado</t>
  </si>
  <si>
    <t>Avance fisico Real</t>
  </si>
  <si>
    <t>IMPL</t>
  </si>
  <si>
    <t>Actividades</t>
  </si>
  <si>
    <t>HH Planificada</t>
  </si>
  <si>
    <t>Avance físico Planificado</t>
  </si>
  <si>
    <t>Avance físico Real</t>
  </si>
  <si>
    <t>1 (Ago)</t>
  </si>
  <si>
    <t>INICIO</t>
  </si>
  <si>
    <t>Levantamiento Requerimientos (RF)</t>
  </si>
  <si>
    <t>2 (Sep)</t>
  </si>
  <si>
    <t>DISEÑO</t>
  </si>
  <si>
    <t>Arquitectura, BD y Mockups</t>
  </si>
  <si>
    <t>3 (Oct)</t>
  </si>
  <si>
    <t>Desarrollo Sprints 1 y 2 (Core)</t>
  </si>
  <si>
    <t>4 (Nov)</t>
  </si>
  <si>
    <t>Desarrollo Sprints 3 y 4 (Reportes)</t>
  </si>
  <si>
    <t>5 (Dic)</t>
  </si>
  <si>
    <t>CIERRE</t>
  </si>
  <si>
    <t>QA, Manuales y Entrega 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</si>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</sst>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 &quot;$&quot;* #,##0_ ;_ &quot;$&quot;* \-#,##0_ ;_ &quot;$&quot;* &quot;-&quot;_ ;_ @_ "/>
    <numFmt numFmtId="41" formatCode="_ * #,##0_ ;_ * \-#,##0_ ;_ * &quot;-&quot;_ ;_ @_ 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2"/>
      <color theme="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42" fontId="3" fillId="0" borderId="0" xfId="0" applyNumberFormat="1" applyFont="1"/>
    <xf numFmtId="41" fontId="3" fillId="0" borderId="0" xfId="0" applyNumberFormat="1" applyFont="1"/>
    <xf numFmtId="0" fontId="4" fillId="2" borderId="2" xfId="0" applyFont="1" applyFill="1" applyBorder="1"/>
    <xf numFmtId="0" fontId="3" fillId="0" borderId="2" xfId="0" applyFont="1" applyBorder="1"/>
    <xf numFmtId="9" fontId="3" fillId="0" borderId="2" xfId="0" applyNumberFormat="1" applyFont="1" applyBorder="1"/>
    <xf numFmtId="41" fontId="3" fillId="0" borderId="2" xfId="0" applyNumberFormat="1" applyFont="1" applyBorder="1"/>
    <xf numFmtId="0" fontId="3" fillId="3" borderId="1" xfId="0" applyFont="1" applyFill="1" applyBorder="1"/>
    <xf numFmtId="10" fontId="0" fillId="0" borderId="0" xfId="0" applyNumberFormat="1"/>
    <xf numFmtId="0" fontId="4" fillId="0" borderId="1" xfId="0" applyFont="1" applyFill="1" applyBorder="1"/>
    <xf numFmtId="42" fontId="3" fillId="0" borderId="0" xfId="0" applyNumberFormat="1" applyFont="1" applyFill="1"/>
    <xf numFmtId="0" fontId="3" fillId="0" borderId="1" xfId="0" applyFont="1" applyBorder="1"/>
    <xf numFmtId="0" fontId="6" fillId="0" borderId="3" xfId="0" applyFont="1" applyBorder="1" applyAlignment="1">
      <alignment horizontal="right" vertical="center" wrapText="1" indent="1" readingOrder="1"/>
    </xf>
    <xf numFmtId="0" fontId="5" fillId="0" borderId="3" xfId="0" applyFont="1" applyBorder="1" applyAlignment="1">
      <alignment horizontal="right" vertical="center" wrapText="1" indent="1" readingOrder="1"/>
    </xf>
    <xf numFmtId="9" fontId="5" fillId="0" borderId="3" xfId="0" applyNumberFormat="1" applyFont="1" applyBorder="1" applyAlignment="1">
      <alignment horizontal="right" vertical="center" wrapText="1" indent="1" readingOrder="1"/>
    </xf>
    <xf numFmtId="9" fontId="6" fillId="0" borderId="3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Curva S planificada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HH Planificadas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'Datos Infraestructura'!$F$5:$F$9</c:f>
              <c:numCache>
                <c:formatCode>General</c:formatCode>
                <c:ptCount val="5"/>
                <c:pt idx="0">
                  <c:v>80</c:v>
                </c:pt>
                <c:pt idx="1">
                  <c:v>120</c:v>
                </c:pt>
                <c:pt idx="2">
                  <c:v>280</c:v>
                </c:pt>
                <c:pt idx="3">
                  <c:v>240</c:v>
                </c:pt>
                <c:pt idx="4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29-42D4-A45B-34636CB93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864955"/>
        <c:axId val="62682892"/>
      </c:barChart>
      <c:lineChart>
        <c:grouping val="standard"/>
        <c:varyColors val="0"/>
        <c:ser>
          <c:idx val="1"/>
          <c:order val="1"/>
          <c:tx>
            <c:v>Avance fisico Planificado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'Datos Infraestructura'!$H$5:$H$9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29-42D4-A45B-34636CB93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580384"/>
        <c:axId val="1700583264"/>
      </c:lineChart>
      <c:catAx>
        <c:axId val="49986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62682892"/>
        <c:crosses val="autoZero"/>
        <c:auto val="1"/>
        <c:lblAlgn val="ctr"/>
        <c:lblOffset val="100"/>
        <c:noMultiLvlLbl val="1"/>
      </c:catAx>
      <c:valAx>
        <c:axId val="62682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99864955"/>
        <c:crosses val="autoZero"/>
        <c:crossBetween val="between"/>
      </c:valAx>
      <c:valAx>
        <c:axId val="17005832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700580384"/>
        <c:crosses val="max"/>
        <c:crossBetween val="between"/>
      </c:valAx>
      <c:catAx>
        <c:axId val="1700580384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700583264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600" b="1" i="0">
                <a:solidFill>
                  <a:sysClr val="windowText" lastClr="000000"/>
                </a:solidFill>
                <a:latin typeface="+mn-lt"/>
              </a:rPr>
              <a:t>Curva S (Cloud)</a:t>
            </a:r>
          </a:p>
        </c:rich>
      </c:tx>
      <c:layout>
        <c:manualLayout>
          <c:xMode val="edge"/>
          <c:yMode val="edge"/>
          <c:x val="0.41714312328003278"/>
          <c:y val="1.8579234706205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613869242758691E-2"/>
          <c:y val="0.2159836034596388"/>
          <c:w val="0.89964478117859603"/>
          <c:h val="0.64174326566378137"/>
        </c:manualLayout>
      </c:layout>
      <c:barChart>
        <c:barDir val="col"/>
        <c:grouping val="clustered"/>
        <c:varyColors val="1"/>
        <c:ser>
          <c:idx val="0"/>
          <c:order val="0"/>
          <c:tx>
            <c:v>HH Planificadas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Infraestructura'!$C$5:$C$9</c:f>
              <c:strCache>
                <c:ptCount val="5"/>
                <c:pt idx="0">
                  <c:v>INICIO</c:v>
                </c:pt>
                <c:pt idx="1">
                  <c:v>DISEÑO</c:v>
                </c:pt>
                <c:pt idx="2">
                  <c:v>IMPL</c:v>
                </c:pt>
                <c:pt idx="3">
                  <c:v>IMPL</c:v>
                </c:pt>
                <c:pt idx="4">
                  <c:v>CIERRE</c:v>
                </c:pt>
              </c:strCache>
            </c:strRef>
          </c:cat>
          <c:val>
            <c:numRef>
              <c:f>'Datos Infraestructura'!$F$5:$F$9</c:f>
              <c:numCache>
                <c:formatCode>General</c:formatCode>
                <c:ptCount val="5"/>
                <c:pt idx="0">
                  <c:v>80</c:v>
                </c:pt>
                <c:pt idx="1">
                  <c:v>120</c:v>
                </c:pt>
                <c:pt idx="2">
                  <c:v>280</c:v>
                </c:pt>
                <c:pt idx="3">
                  <c:v>240</c:v>
                </c:pt>
                <c:pt idx="4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FA-45AD-A535-381E78D71E31}"/>
            </c:ext>
          </c:extLst>
        </c:ser>
        <c:ser>
          <c:idx val="1"/>
          <c:order val="1"/>
          <c:tx>
            <c:v>HH Real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Infraestructura'!$C$5:$C$9</c:f>
              <c:strCache>
                <c:ptCount val="5"/>
                <c:pt idx="0">
                  <c:v>INICIO</c:v>
                </c:pt>
                <c:pt idx="1">
                  <c:v>DISEÑO</c:v>
                </c:pt>
                <c:pt idx="2">
                  <c:v>IMPL</c:v>
                </c:pt>
                <c:pt idx="3">
                  <c:v>IMPL</c:v>
                </c:pt>
                <c:pt idx="4">
                  <c:v>CIERRE</c:v>
                </c:pt>
              </c:strCache>
            </c:strRef>
          </c:cat>
          <c:val>
            <c:numRef>
              <c:f>'Datos Infraestructura'!$G$5:$G$9</c:f>
              <c:numCache>
                <c:formatCode>General</c:formatCode>
                <c:ptCount val="5"/>
                <c:pt idx="0">
                  <c:v>80</c:v>
                </c:pt>
                <c:pt idx="1">
                  <c:v>100</c:v>
                </c:pt>
                <c:pt idx="2">
                  <c:v>300</c:v>
                </c:pt>
                <c:pt idx="3">
                  <c:v>240</c:v>
                </c:pt>
                <c:pt idx="4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FA-45AD-A535-381E78D71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302018"/>
        <c:axId val="1742274497"/>
      </c:barChart>
      <c:lineChart>
        <c:grouping val="standard"/>
        <c:varyColors val="1"/>
        <c:ser>
          <c:idx val="2"/>
          <c:order val="2"/>
          <c:tx>
            <c:v>Avance fisico Planificado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dLbl>
              <c:idx val="10"/>
              <c:layout>
                <c:manualLayout>
                  <c:x val="-4.5897877223178597E-2"/>
                  <c:y val="-9.7130242825607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0FA-45AD-A535-381E78D71E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'Datos Infraestructura'!$H$5:$H$9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FA-45AD-A535-381E78D71E31}"/>
            </c:ext>
          </c:extLst>
        </c:ser>
        <c:ser>
          <c:idx val="3"/>
          <c:order val="3"/>
          <c:tx>
            <c:v>Avance fisico Real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dLbls>
            <c:dLbl>
              <c:idx val="10"/>
              <c:layout>
                <c:manualLayout>
                  <c:x val="-4.8192771084337352E-2"/>
                  <c:y val="3.0905077262693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FA-45AD-A535-381E78D71E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'Datos Infraestructura'!$I$5:$I$9</c:f>
              <c:numCache>
                <c:formatCode>0%</c:formatCode>
                <c:ptCount val="5"/>
                <c:pt idx="0">
                  <c:v>0.1</c:v>
                </c:pt>
                <c:pt idx="1">
                  <c:v>0.22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FA-45AD-A535-381E78D71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093824"/>
        <c:axId val="1841091904"/>
      </c:lineChart>
      <c:catAx>
        <c:axId val="904302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742274497"/>
        <c:crosses val="autoZero"/>
        <c:auto val="1"/>
        <c:lblAlgn val="ctr"/>
        <c:lblOffset val="100"/>
        <c:noMultiLvlLbl val="1"/>
      </c:catAx>
      <c:valAx>
        <c:axId val="1742274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904302018"/>
        <c:crosses val="autoZero"/>
        <c:crossBetween val="between"/>
      </c:valAx>
      <c:valAx>
        <c:axId val="18410919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841093824"/>
        <c:crosses val="max"/>
        <c:crossBetween val="between"/>
      </c:valAx>
      <c:catAx>
        <c:axId val="1841093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841091904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33328934677236138"/>
          <c:y val="0.92311537192726401"/>
          <c:w val="0.41066045381167027"/>
          <c:h val="5.9579860153546424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143996</xdr:rowOff>
    </xdr:from>
    <xdr:ext cx="6143625" cy="2838450"/>
    <xdr:graphicFrame macro="">
      <xdr:nvGraphicFramePr>
        <xdr:cNvPr id="790893665" name="Chart 2">
          <a:extLst>
            <a:ext uri="{FF2B5EF4-FFF2-40B4-BE49-F238E27FC236}">
              <a16:creationId xmlns:a16="http://schemas.microsoft.com/office/drawing/2014/main" id="{00000000-0008-0000-0100-000061142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760324</xdr:colOff>
      <xdr:row>18</xdr:row>
      <xdr:rowOff>89646</xdr:rowOff>
    </xdr:from>
    <xdr:to>
      <xdr:col>18</xdr:col>
      <xdr:colOff>504266</xdr:colOff>
      <xdr:row>35</xdr:row>
      <xdr:rowOff>190500</xdr:rowOff>
    </xdr:to>
    <xdr:graphicFrame macro="">
      <xdr:nvGraphicFramePr>
        <xdr:cNvPr id="1265040444" name="Chart 1">
          <a:extLst>
            <a:ext uri="{FF2B5EF4-FFF2-40B4-BE49-F238E27FC236}">
              <a16:creationId xmlns:a16="http://schemas.microsoft.com/office/drawing/2014/main" id="{00000000-0008-0000-0100-00003CFC6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0.55428</cdr:x>
      <cdr:y>0</cdr:y>
    </cdr:from>
    <cdr:to>
      <cdr:x>0.98526</cdr:x>
      <cdr:y>0.16667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9C6417A1-1F66-CBD9-E3B8-13E3463B0D6E}"/>
            </a:ext>
          </a:extLst>
        </cdr:cNvPr>
        <cdr:cNvSpPr txBox="1"/>
      </cdr:nvSpPr>
      <cdr:spPr>
        <a:xfrm xmlns:a="http://schemas.openxmlformats.org/drawingml/2006/main">
          <a:off x="6740071" y="0"/>
          <a:ext cx="5240693" cy="584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/>
            <a:t>Se inyectaron </a:t>
          </a:r>
          <a:r>
            <a:rPr lang="es-CL" b="1"/>
            <a:t>20 HH adicionales</a:t>
          </a:r>
          <a:r>
            <a:rPr lang="es-CL"/>
            <a:t> durante la fase de Implementación (Mes 3) para mitigar el retraso generado en la fase de Diseño. Esto</a:t>
          </a:r>
          <a:r>
            <a:rPr lang="es-CL" baseline="0"/>
            <a:t> permitió</a:t>
          </a:r>
          <a:r>
            <a:rPr lang="es-CL"/>
            <a:t>alinear la curva de avance real con la planificada, asegurando la entrega en la fecha estipulada.</a:t>
          </a:r>
          <a:endParaRPr lang="es-MX" sz="1100" kern="12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00"/>
  <sheetViews>
    <sheetView workbookViewId="0">
      <selection activeCell="B11" sqref="B11:I16"/>
    </sheetView>
  </sheetViews>
  <sheetFormatPr baseColWidth="10" defaultColWidth="14.42578125" defaultRowHeight="15" customHeight="1" x14ac:dyDescent="0.25"/>
  <cols>
    <col min="1" max="1" width="10.7109375" customWidth="1"/>
    <col min="2" max="2" width="9.140625" customWidth="1"/>
    <col min="3" max="3" width="14" customWidth="1"/>
    <col min="4" max="4" width="21.7109375" customWidth="1"/>
    <col min="5" max="5" width="14.7109375" customWidth="1"/>
    <col min="6" max="7" width="14.5703125" customWidth="1"/>
    <col min="8" max="9" width="23.140625" customWidth="1"/>
    <col min="10" max="11" width="10.7109375" customWidth="1"/>
    <col min="12" max="12" width="22.85546875" customWidth="1"/>
    <col min="13" max="13" width="16" customWidth="1"/>
    <col min="14" max="14" width="25.42578125" customWidth="1"/>
    <col min="15" max="15" width="19" customWidth="1"/>
    <col min="16" max="26" width="10.7109375" customWidth="1"/>
  </cols>
  <sheetData>
    <row r="1" spans="2:15" x14ac:dyDescent="0.25">
      <c r="C1" s="1" t="s">
        <v>0</v>
      </c>
      <c r="D1" s="1" t="s">
        <v>1</v>
      </c>
      <c r="E1" s="1" t="s">
        <v>2</v>
      </c>
    </row>
    <row r="2" spans="2:15" ht="15.75" x14ac:dyDescent="0.25">
      <c r="B2" s="2" t="s">
        <v>3</v>
      </c>
      <c r="C2" s="3">
        <v>200000000</v>
      </c>
      <c r="D2" s="3">
        <v>20000</v>
      </c>
      <c r="E2" s="4">
        <f>+C2/D2</f>
        <v>10000</v>
      </c>
    </row>
    <row r="3" spans="2:15" ht="15.75" x14ac:dyDescent="0.25">
      <c r="L3" s="11"/>
      <c r="M3" s="11"/>
      <c r="N3" s="11"/>
      <c r="O3" s="11"/>
    </row>
    <row r="4" spans="2:15" ht="16.5" thickBot="1" x14ac:dyDescent="0.3"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L4" s="12"/>
      <c r="M4" s="12"/>
      <c r="N4" s="12"/>
      <c r="O4" s="12"/>
    </row>
    <row r="5" spans="2:15" ht="43.5" thickBot="1" x14ac:dyDescent="0.3">
      <c r="B5" s="14" t="s">
        <v>17</v>
      </c>
      <c r="C5" s="15" t="s">
        <v>18</v>
      </c>
      <c r="D5" s="15" t="s">
        <v>19</v>
      </c>
      <c r="E5" s="16">
        <v>0.1</v>
      </c>
      <c r="F5" s="15">
        <v>80</v>
      </c>
      <c r="G5" s="15">
        <v>80</v>
      </c>
      <c r="H5" s="16">
        <v>0.1</v>
      </c>
      <c r="I5" s="16">
        <v>0.1</v>
      </c>
      <c r="L5" s="12"/>
      <c r="M5" s="12"/>
      <c r="N5" s="12"/>
      <c r="O5" s="12"/>
    </row>
    <row r="6" spans="2:15" ht="30.75" thickBot="1" x14ac:dyDescent="0.3">
      <c r="B6" s="14" t="s">
        <v>20</v>
      </c>
      <c r="C6" s="15" t="s">
        <v>21</v>
      </c>
      <c r="D6" s="15" t="s">
        <v>22</v>
      </c>
      <c r="E6" s="16">
        <v>0.15</v>
      </c>
      <c r="F6" s="15">
        <v>120</v>
      </c>
      <c r="G6" s="15">
        <v>100</v>
      </c>
      <c r="H6" s="16">
        <v>0.25</v>
      </c>
      <c r="I6" s="16">
        <v>0.22</v>
      </c>
      <c r="L6" s="12"/>
      <c r="M6" s="12"/>
      <c r="N6" s="12"/>
      <c r="O6" s="12"/>
    </row>
    <row r="7" spans="2:15" ht="29.25" thickBot="1" x14ac:dyDescent="0.3">
      <c r="B7" s="14" t="s">
        <v>23</v>
      </c>
      <c r="C7" s="15" t="s">
        <v>12</v>
      </c>
      <c r="D7" s="15" t="s">
        <v>24</v>
      </c>
      <c r="E7" s="16">
        <v>0.35</v>
      </c>
      <c r="F7" s="15">
        <v>280</v>
      </c>
      <c r="G7" s="15">
        <v>300</v>
      </c>
      <c r="H7" s="16">
        <v>0.6</v>
      </c>
      <c r="I7" s="16">
        <v>0.6</v>
      </c>
      <c r="L7" s="12"/>
      <c r="M7" s="12"/>
      <c r="N7" s="12"/>
      <c r="O7" s="12"/>
    </row>
    <row r="8" spans="2:15" ht="30.75" thickBot="1" x14ac:dyDescent="0.3">
      <c r="B8" s="14" t="s">
        <v>25</v>
      </c>
      <c r="C8" s="15" t="s">
        <v>12</v>
      </c>
      <c r="D8" s="15" t="s">
        <v>26</v>
      </c>
      <c r="E8" s="16">
        <v>0.3</v>
      </c>
      <c r="F8" s="15">
        <v>240</v>
      </c>
      <c r="G8" s="15">
        <v>240</v>
      </c>
      <c r="H8" s="16">
        <v>0.9</v>
      </c>
      <c r="I8" s="16">
        <v>0.9</v>
      </c>
      <c r="L8" s="12"/>
      <c r="M8" s="12"/>
      <c r="N8" s="12"/>
      <c r="O8" s="12"/>
    </row>
    <row r="9" spans="2:15" ht="29.25" thickBot="1" x14ac:dyDescent="0.3">
      <c r="B9" s="14" t="s">
        <v>27</v>
      </c>
      <c r="C9" s="15" t="s">
        <v>28</v>
      </c>
      <c r="D9" s="15" t="s">
        <v>29</v>
      </c>
      <c r="E9" s="16">
        <v>0.1</v>
      </c>
      <c r="F9" s="15">
        <v>80</v>
      </c>
      <c r="G9" s="15">
        <v>80</v>
      </c>
      <c r="H9" s="16">
        <v>1</v>
      </c>
      <c r="I9" s="16">
        <v>1</v>
      </c>
      <c r="L9" s="12"/>
      <c r="M9" s="12"/>
      <c r="N9" s="12"/>
      <c r="O9" s="12"/>
    </row>
    <row r="10" spans="2:15" ht="30.75" thickBot="1" x14ac:dyDescent="0.3">
      <c r="B10" s="14" t="s">
        <v>30</v>
      </c>
      <c r="C10" s="15"/>
      <c r="D10" s="15"/>
      <c r="E10" s="17">
        <v>1</v>
      </c>
      <c r="F10" s="14">
        <v>800</v>
      </c>
      <c r="G10" s="14">
        <v>800</v>
      </c>
      <c r="H10" s="15"/>
      <c r="I10" s="15"/>
      <c r="L10" s="12"/>
      <c r="M10" s="12"/>
      <c r="N10" s="12"/>
      <c r="O10" s="12"/>
    </row>
    <row r="11" spans="2:15" x14ac:dyDescent="0.25">
      <c r="B11" s="6"/>
      <c r="C11" s="6"/>
      <c r="D11" s="6"/>
      <c r="E11" s="7"/>
      <c r="F11" s="8"/>
      <c r="G11" s="8"/>
      <c r="H11" s="7"/>
      <c r="I11" s="7"/>
      <c r="L11" s="12"/>
      <c r="M11" s="12"/>
      <c r="N11" s="12"/>
      <c r="O11" s="12"/>
    </row>
    <row r="12" spans="2:15" x14ac:dyDescent="0.25">
      <c r="B12" s="6"/>
      <c r="C12" s="6"/>
      <c r="D12" s="6"/>
      <c r="E12" s="7"/>
      <c r="F12" s="8"/>
      <c r="G12" s="8"/>
      <c r="H12" s="7"/>
      <c r="I12" s="7"/>
      <c r="L12" s="12"/>
      <c r="M12" s="12"/>
      <c r="N12" s="12"/>
      <c r="O12" s="12"/>
    </row>
    <row r="13" spans="2:15" x14ac:dyDescent="0.25">
      <c r="B13" s="6"/>
      <c r="C13" s="6"/>
      <c r="D13" s="6"/>
      <c r="E13" s="7"/>
      <c r="F13" s="8"/>
      <c r="G13" s="8"/>
      <c r="H13" s="7"/>
      <c r="I13" s="7"/>
      <c r="L13" s="12"/>
      <c r="M13" s="12"/>
      <c r="N13" s="12"/>
      <c r="O13" s="12"/>
    </row>
    <row r="14" spans="2:15" x14ac:dyDescent="0.25">
      <c r="B14" s="6"/>
      <c r="C14" s="6"/>
      <c r="D14" s="6"/>
      <c r="E14" s="7"/>
      <c r="F14" s="8"/>
      <c r="G14" s="8"/>
      <c r="H14" s="7"/>
      <c r="I14" s="7"/>
      <c r="L14" s="12"/>
      <c r="M14" s="12"/>
      <c r="N14" s="12"/>
      <c r="O14" s="12"/>
    </row>
    <row r="15" spans="2:15" x14ac:dyDescent="0.25">
      <c r="B15" s="6"/>
      <c r="C15" s="6"/>
      <c r="D15" s="6"/>
      <c r="E15" s="7"/>
      <c r="F15" s="8"/>
      <c r="G15" s="8"/>
      <c r="H15" s="7"/>
      <c r="I15" s="7"/>
      <c r="L15" s="12"/>
      <c r="M15" s="12"/>
      <c r="N15" s="12"/>
      <c r="O15" s="12"/>
    </row>
    <row r="16" spans="2:15" ht="15" customHeight="1" x14ac:dyDescent="0.25">
      <c r="B16" s="6"/>
      <c r="C16" s="6"/>
      <c r="D16" s="6"/>
      <c r="E16" s="7"/>
      <c r="F16" s="8"/>
      <c r="G16" s="8"/>
      <c r="H16" s="7"/>
      <c r="I16" s="7"/>
    </row>
    <row r="19" spans="2:9" ht="15" customHeight="1" thickBot="1" x14ac:dyDescent="0.3">
      <c r="F19" s="13"/>
      <c r="G19" s="10"/>
    </row>
    <row r="20" spans="2:9" ht="15" customHeight="1" thickBot="1" x14ac:dyDescent="0.3">
      <c r="B20" s="14" t="s">
        <v>4</v>
      </c>
      <c r="C20" s="14" t="s">
        <v>13</v>
      </c>
      <c r="D20" s="14" t="s">
        <v>6</v>
      </c>
      <c r="E20" s="14" t="s">
        <v>7</v>
      </c>
      <c r="F20" s="14" t="s">
        <v>14</v>
      </c>
      <c r="G20" s="14" t="s">
        <v>9</v>
      </c>
      <c r="H20" s="14" t="s">
        <v>15</v>
      </c>
      <c r="I20" s="14" t="s">
        <v>16</v>
      </c>
    </row>
    <row r="21" spans="2:9" ht="15.75" customHeight="1" thickBot="1" x14ac:dyDescent="0.3">
      <c r="B21" s="14" t="s">
        <v>17</v>
      </c>
      <c r="C21" s="15" t="s">
        <v>18</v>
      </c>
      <c r="D21" s="15" t="s">
        <v>19</v>
      </c>
      <c r="E21" s="16">
        <v>0.1</v>
      </c>
      <c r="F21" s="15">
        <v>80</v>
      </c>
      <c r="G21" s="15">
        <v>80</v>
      </c>
      <c r="H21" s="16">
        <v>0.1</v>
      </c>
      <c r="I21" s="16">
        <v>0.1</v>
      </c>
    </row>
    <row r="22" spans="2:9" ht="15.75" customHeight="1" thickBot="1" x14ac:dyDescent="0.3">
      <c r="B22" s="14" t="s">
        <v>20</v>
      </c>
      <c r="C22" s="15" t="s">
        <v>21</v>
      </c>
      <c r="D22" s="15" t="s">
        <v>22</v>
      </c>
      <c r="E22" s="16">
        <v>0.15</v>
      </c>
      <c r="F22" s="15">
        <v>120</v>
      </c>
      <c r="G22" s="15">
        <v>100</v>
      </c>
      <c r="H22" s="16">
        <v>0.25</v>
      </c>
      <c r="I22" s="16">
        <v>0.22</v>
      </c>
    </row>
    <row r="23" spans="2:9" ht="15.75" customHeight="1" thickBot="1" x14ac:dyDescent="0.3">
      <c r="B23" s="14" t="s">
        <v>23</v>
      </c>
      <c r="C23" s="15" t="s">
        <v>12</v>
      </c>
      <c r="D23" s="15" t="s">
        <v>24</v>
      </c>
      <c r="E23" s="16">
        <v>0.35</v>
      </c>
      <c r="F23" s="15">
        <v>280</v>
      </c>
      <c r="G23" s="15">
        <v>300</v>
      </c>
      <c r="H23" s="16">
        <v>0.6</v>
      </c>
      <c r="I23" s="16">
        <v>0.6</v>
      </c>
    </row>
    <row r="24" spans="2:9" ht="15.75" customHeight="1" thickBot="1" x14ac:dyDescent="0.3">
      <c r="B24" s="14" t="s">
        <v>25</v>
      </c>
      <c r="C24" s="15" t="s">
        <v>12</v>
      </c>
      <c r="D24" s="15" t="s">
        <v>26</v>
      </c>
      <c r="E24" s="16">
        <v>0.3</v>
      </c>
      <c r="F24" s="15">
        <v>240</v>
      </c>
      <c r="G24" s="15">
        <v>240</v>
      </c>
      <c r="H24" s="16">
        <v>0.9</v>
      </c>
      <c r="I24" s="16">
        <v>0.9</v>
      </c>
    </row>
    <row r="25" spans="2:9" ht="15.75" customHeight="1" thickBot="1" x14ac:dyDescent="0.3">
      <c r="B25" s="14" t="s">
        <v>27</v>
      </c>
      <c r="C25" s="15" t="s">
        <v>28</v>
      </c>
      <c r="D25" s="15" t="s">
        <v>29</v>
      </c>
      <c r="E25" s="16">
        <v>0.1</v>
      </c>
      <c r="F25" s="15">
        <v>80</v>
      </c>
      <c r="G25" s="15">
        <v>80</v>
      </c>
      <c r="H25" s="16">
        <v>1</v>
      </c>
      <c r="I25" s="16">
        <v>1</v>
      </c>
    </row>
    <row r="26" spans="2:9" ht="15.75" customHeight="1" thickBot="1" x14ac:dyDescent="0.3">
      <c r="B26" s="14" t="s">
        <v>30</v>
      </c>
      <c r="C26" s="15"/>
      <c r="D26" s="15"/>
      <c r="E26" s="17">
        <v>1</v>
      </c>
      <c r="F26" s="14">
        <v>800</v>
      </c>
      <c r="G26" s="14">
        <v>800</v>
      </c>
      <c r="H26" s="15"/>
      <c r="I26" s="15"/>
    </row>
    <row r="27" spans="2:9" ht="15.75" customHeight="1" x14ac:dyDescent="0.25">
      <c r="F27" s="13"/>
      <c r="G27" s="10"/>
    </row>
    <row r="28" spans="2:9" ht="15.75" customHeight="1" x14ac:dyDescent="0.25">
      <c r="F28" s="13"/>
      <c r="G28" s="10"/>
    </row>
    <row r="29" spans="2:9" ht="15.75" customHeight="1" x14ac:dyDescent="0.25">
      <c r="F29" s="13"/>
      <c r="G29" s="10"/>
    </row>
    <row r="30" spans="2:9" ht="15.75" customHeight="1" x14ac:dyDescent="0.25">
      <c r="F30" s="13"/>
      <c r="G30" s="10"/>
    </row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85" zoomScaleNormal="85" workbookViewId="0">
      <selection activeCell="S17" sqref="S17"/>
    </sheetView>
  </sheetViews>
  <sheetFormatPr baseColWidth="10" defaultColWidth="14.42578125" defaultRowHeight="15" customHeight="1" x14ac:dyDescent="0.25"/>
  <cols>
    <col min="1" max="6" width="11.42578125" customWidth="1"/>
    <col min="7" max="26" width="10.7109375" customWidth="1"/>
  </cols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Infraestructura</vt:lpstr>
      <vt:lpstr>Grafico Infraestrucura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POAPCA02LC0200</dc:creator>
  <cp:lastModifiedBy>Nicolas Javier Agurto Contreras</cp:lastModifiedBy>
  <dcterms:created xsi:type="dcterms:W3CDTF">2024-10-22T18:28:21Z</dcterms:created>
  <dcterms:modified xsi:type="dcterms:W3CDTF">2025-11-24T17:57:46Z</dcterms:modified>
</cp:coreProperties>
</file>