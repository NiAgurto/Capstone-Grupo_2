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ses\DUOC\CAPSTONE\2025-2\Rúbricas\4D\Fase 3\Equipo 2\"/>
    </mc:Choice>
  </mc:AlternateContent>
  <xr:revisionPtr revIDLastSave="0" documentId="13_ncr:1_{5AFC89E2-FF6F-4C6D-84A8-F8EA0B0D92A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11" i="1"/>
  <c r="D5" i="1"/>
  <c r="D4" i="1"/>
  <c r="B76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B63" i="1" l="1"/>
  <c r="E72" i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<sst xmlns="http://schemas.openxmlformats.org/spreadsheetml/2006/main" count="164" uniqueCount="66">
  <si>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</si>
  <si>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</si>
  <si>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</si>
  <si>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</si>
  <si>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</si>
  <si>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</si>
  <si>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</si>
  <si>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</si>
  <si>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</si>
  <si>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</si>
  <si>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</si>
  <si>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</si>
  <si>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</si>
  <si>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</si>
  <si>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</si>
  <si>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</si>
  <si>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</si>
  <si>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</si>
  <si>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</si>
  <si>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</si>
  <si>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</si>
  <si>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</si>
  <si>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</si>
  <si>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</si>
  <si>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</si>
  <si>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</si>
  <si>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</si>
  <si>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</si>
  <si>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</si>
  <si>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</si>
  <si>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</si>
  <si>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</si>
  <si>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</si>
  <si>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</si>
  <si>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</si>
  <si>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</si>
  <si>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</si>
  <si>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</si>
  <si>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</si>
  <si>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</si>
  <si>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</si>
  <si>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</si>
  <si>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</si>
  <si>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</si>
  <si>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</si>
  <si>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</si>
  <si>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</si>
  <si>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</si>
  <si>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</si>
  <si>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</si>
  <si>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</si>
  <si>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</si>
  <si>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</si>
  <si>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</si>
  <si>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</si>
  <si>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</si>
  <si>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</si>
  <si>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</si>
  <si>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</si>
  <si>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</si>
  <si>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</si>
  <si>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</si>
  <si>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</si>
  <si>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AGURTO CONTRERAS NICOLAS</t>
  </si>
  <si>
    <t>ESPINOZA BARRERA MATIAS</t>
  </si>
  <si>
    <t>LUCES LARA JESUS ALEJANDRO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</si>
</sst>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B9" sqref="B9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63</v>
      </c>
      <c r="C4" s="31">
        <f>C21</f>
        <v>7</v>
      </c>
      <c r="D4" s="37">
        <f>C60</f>
        <v>7</v>
      </c>
      <c r="E4" s="36">
        <f>C4*C$2+D4*D$2</f>
        <v>7</v>
      </c>
    </row>
    <row r="5" spans="1:11" ht="14.4" x14ac:dyDescent="0.3">
      <c r="A5" s="3">
        <v>2</v>
      </c>
      <c r="B5" s="16" t="s">
        <v>64</v>
      </c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 ht="14.4" x14ac:dyDescent="0.3">
      <c r="A6" s="3">
        <v>3</v>
      </c>
      <c r="B6" s="16" t="s">
        <v>65</v>
      </c>
      <c r="C6" s="31">
        <f>C47</f>
        <v>7</v>
      </c>
      <c r="D6" s="37">
        <f>C86</f>
        <v>7</v>
      </c>
      <c r="E6" s="36">
        <f t="shared" si="0"/>
        <v>7</v>
      </c>
    </row>
    <row r="11" spans="1:11" ht="18" outlineLevel="1" x14ac:dyDescent="0.3">
      <c r="A11" s="39" t="s">
        <v>4</v>
      </c>
      <c r="B11" s="11" t="str">
        <f>B4</f>
        <v>AGURTO CONTRERAS NICOLAS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ht="14.4" outlineLevel="1" x14ac:dyDescent="0.3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3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" customHeight="1" outlineLevel="1" x14ac:dyDescent="0.3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3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3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3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 x14ac:dyDescent="0.3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3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5">
      <c r="A20" s="40"/>
      <c r="B20" s="18" t="s">
        <v>12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5">
      <c r="A21" s="42"/>
      <c r="B21" s="21" t="s">
        <v>13</v>
      </c>
      <c r="C21" s="14">
        <f>VLOOKUP(C20,ESCALA_IEP!A2:B202,2,FALSE)</f>
        <v>7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39" t="s">
        <v>4</v>
      </c>
      <c r="B24" s="11" t="str">
        <f>B5</f>
        <v>ESPINOZA BARRERA MATIAS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3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3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3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3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3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3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3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3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5">
      <c r="A33" s="40"/>
      <c r="B33" s="18" t="s">
        <v>12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5">
      <c r="A34" s="42"/>
      <c r="B34" s="21" t="s">
        <v>13</v>
      </c>
      <c r="C34" s="14">
        <f>VLOOKUP(C33,ESCALA_IEP!A15:B215,2,FALSE)</f>
        <v>7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39" t="s">
        <v>4</v>
      </c>
      <c r="B37" s="11" t="str">
        <f>B6</f>
        <v>LUCES LARA JESUS ALEJANDRO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3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3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3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3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3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3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3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3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5">
      <c r="A46" s="40"/>
      <c r="B46" s="18" t="s">
        <v>12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5">
      <c r="A47" s="42"/>
      <c r="B47" s="21" t="s">
        <v>13</v>
      </c>
      <c r="C47" s="14">
        <f>VLOOKUP(C46,ESCALA_IEP!A28:B228,2,FALSE)</f>
        <v>7</v>
      </c>
    </row>
    <row r="48" spans="1:11" ht="15.75" customHeight="1" x14ac:dyDescent="0.3"/>
    <row r="49" spans="1:11" ht="15.75" customHeight="1" x14ac:dyDescent="0.3"/>
    <row r="50" spans="1:11" ht="24" customHeight="1" x14ac:dyDescent="0.3">
      <c r="A50" s="48" t="s">
        <v>14</v>
      </c>
      <c r="B50" s="11" t="str">
        <f>B4</f>
        <v>AGURTO CONTRERAS NICOLAS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3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3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3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3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3">
      <c r="A55" s="41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3">
      <c r="A56" s="41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3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3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5">
      <c r="A59" s="40"/>
      <c r="B59" s="18" t="s">
        <v>12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5">
      <c r="A60" s="42"/>
      <c r="B60" s="21" t="s">
        <v>13</v>
      </c>
      <c r="C60" s="14">
        <f>VLOOKUP(C59,ESCALA_IEP!A41:B241,2,FALSE)</f>
        <v>7</v>
      </c>
    </row>
    <row r="61" spans="1:11" ht="15.75" customHeight="1" x14ac:dyDescent="0.3"/>
    <row r="62" spans="1:11" ht="15.75" customHeight="1" x14ac:dyDescent="0.3"/>
    <row r="63" spans="1:11" ht="24" customHeight="1" x14ac:dyDescent="0.3">
      <c r="A63" s="48" t="s">
        <v>15</v>
      </c>
      <c r="B63" s="11" t="str">
        <f>B5</f>
        <v>ESPINOZA BARRERA MATIAS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3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3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3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3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3">
      <c r="A68" s="41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3">
      <c r="A69" s="41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3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3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5">
      <c r="A72" s="40"/>
      <c r="B72" s="18" t="s">
        <v>12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5">
      <c r="A73" s="42"/>
      <c r="B73" s="21" t="s">
        <v>13</v>
      </c>
      <c r="C73" s="14">
        <f>VLOOKUP(C72,ESCALA_IEP!A54:B254,2,FALSE)</f>
        <v>7</v>
      </c>
    </row>
    <row r="74" spans="1:11" ht="15.75" customHeight="1" x14ac:dyDescent="0.3"/>
    <row r="75" spans="1:11" ht="15.75" customHeight="1" x14ac:dyDescent="0.3"/>
    <row r="76" spans="1:11" ht="24" customHeight="1" x14ac:dyDescent="0.3">
      <c r="A76" s="48" t="s">
        <v>16</v>
      </c>
      <c r="B76" s="11" t="str">
        <f>B6</f>
        <v>LUCES LARA JESUS ALEJANDRO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3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3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3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3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3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3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3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3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5">
      <c r="A85" s="40"/>
      <c r="B85" s="18" t="s">
        <v>12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5">
      <c r="A86" s="42"/>
      <c r="B86" s="21" t="s">
        <v>13</v>
      </c>
      <c r="C86" s="14">
        <f>VLOOKUP(C85,ESCALA_IEP!A67:B267,2,FALSE)</f>
        <v>7</v>
      </c>
    </row>
    <row r="87" spans="1:11" ht="15.75" customHeight="1" x14ac:dyDescent="0.3"/>
    <row r="88" spans="1:11" ht="15.75" customHeight="1" x14ac:dyDescent="0.3"/>
    <row r="89" spans="1:11" ht="15.75" customHeight="1" x14ac:dyDescent="0.3"/>
    <row r="90" spans="1:11" ht="15.75" customHeight="1" x14ac:dyDescent="0.3"/>
    <row r="91" spans="1:11" ht="15.75" customHeight="1" x14ac:dyDescent="0.3"/>
    <row r="92" spans="1:11" ht="15.75" customHeight="1" x14ac:dyDescent="0.3"/>
    <row r="93" spans="1:11" ht="15.75" customHeight="1" x14ac:dyDescent="0.3"/>
    <row r="94" spans="1:11" ht="15.75" customHeight="1" x14ac:dyDescent="0.3"/>
    <row r="95" spans="1:11" ht="15.75" customHeight="1" x14ac:dyDescent="0.3"/>
    <row r="96" spans="1:1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3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 x14ac:dyDescent="0.3">
      <c r="A3" s="50"/>
      <c r="B3" s="55"/>
      <c r="C3" s="55"/>
      <c r="D3" s="27">
        <v>0.3</v>
      </c>
      <c r="E3" s="27">
        <v>0</v>
      </c>
      <c r="F3" s="50"/>
    </row>
    <row r="4" spans="1:6" ht="110.4" x14ac:dyDescent="0.3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4999999999999" customHeight="1" x14ac:dyDescent="0.3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3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96.6" x14ac:dyDescent="0.3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96.6" x14ac:dyDescent="0.3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96.6" x14ac:dyDescent="0.3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3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58</v>
      </c>
      <c r="B1" t="s">
        <v>59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6" t="s">
        <v>60</v>
      </c>
      <c r="B1" s="4" t="s">
        <v>12</v>
      </c>
      <c r="C1" s="5"/>
      <c r="D1" s="5"/>
      <c r="E1" s="6"/>
    </row>
    <row r="2" spans="1:5" ht="43.8" thickBot="1" x14ac:dyDescent="0.35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29.4" thickBot="1" x14ac:dyDescent="0.3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LUIS ALBERTO BRAVO YANES</cp:lastModifiedBy>
  <cp:revision/>
  <dcterms:created xsi:type="dcterms:W3CDTF">2023-08-07T04:08:01Z</dcterms:created>
  <dcterms:modified xsi:type="dcterms:W3CDTF">2025-12-08T23:45:46Z</dcterms:modified>
  <cp:category/>
  <cp:contentStatus/>
</cp:coreProperties>
</file>