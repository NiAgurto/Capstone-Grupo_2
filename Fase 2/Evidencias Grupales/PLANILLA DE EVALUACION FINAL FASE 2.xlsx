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4D\Fase 2\Equipo 2\"/>
    </mc:Choice>
  </mc:AlternateContent>
  <xr:revisionPtr revIDLastSave="0" documentId="13_ncr:1_{E0094F69-F57D-4CE1-A49C-737399D3A060}"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<sst xmlns="http://schemas.openxmlformats.org/spreadsheetml/2006/main" count="138" uniqueCount="79">
  <si>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</si>
  <si>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</si>
  <si>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</si>
  <si>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</si>
  <si>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</si>
  <si>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</si>
  <si>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</si>
  <si>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</si>
  <si>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</si>
  <si>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</si>
  <si>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</si>
  <si>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</si>
  <si>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</si>
  <si>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</si>
  <si>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</si>
  <si>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</si>
  <si>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</si>
  <si>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</si>
  <si>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</si>
  <si>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</si>
  <si>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</si>
  <si>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</si>
  <si>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</si>
  <si>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</si>
  <si>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</si>
  <si>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</si>
  <si>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</si>
  <si>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</si>
  <si>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</si>
  <si>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</si>
  <si>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</si>
  <si>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</si>
  <si>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</si>
  <si>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</si>
  <si>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</si>
  <si>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</si>
  <si>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</si>
  <si>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</si>
  <si>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</si>
  <si>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</si>
  <si>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</si>
  <si>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</si>
  <si>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</si>
  <si>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</si>
  <si>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</si>
  <si>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</si>
  <si>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</si>
  <si>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</si>
  <si>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</si>
  <si>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</si>
  <si>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</si>
  <si>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</si>
  <si>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</si>
  <si>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</si>
  <si>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</si>
  <si>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</si>
  <si>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</si>
  <si>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</si>
  <si>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</si>
  <si>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</si>
  <si>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</si>
  <si>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</si>
  <si>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</si>
  <si>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</si>
  <si>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</si>
  <si>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</si>
  <si>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</si>
  <si>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</si>
  <si>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</si>
  <si>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</si>
  <si>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</si>
  <si>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</si>
  <si>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</si>
  <si>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</si>
  <si>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</si>
  <si>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</si>
  <si>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AGURTO CONTRERAS NICOLAS</t>
  </si>
  <si>
    <t>ESPINOZA BARRERA MATIAS</t>
  </si>
  <si>
    <t>LUCES LARA JESUS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</si>
</sst>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11" zoomScale="120" zoomScaleNormal="120" workbookViewId="0">
      <selection activeCell="C18" sqref="C1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6</v>
      </c>
      <c r="D4" s="5">
        <f>$C$32</f>
        <v>7</v>
      </c>
      <c r="E4" s="6">
        <f>C4*C$2+D4*D$2</f>
        <v>6.25</v>
      </c>
      <c r="G4" s="1"/>
    </row>
    <row r="5" spans="1:11" ht="14.4" x14ac:dyDescent="0.3">
      <c r="A5" s="4">
        <v>2</v>
      </c>
      <c r="B5" s="27" t="s">
        <v>77</v>
      </c>
      <c r="C5" s="5">
        <f>EVALUACION1!$C$21</f>
        <v>6</v>
      </c>
      <c r="D5" s="5">
        <f>C44</f>
        <v>7</v>
      </c>
      <c r="E5" s="6">
        <f t="shared" ref="E5:E6" si="0">C5*C$2+D5*D$2</f>
        <v>6.25</v>
      </c>
      <c r="G5" s="1"/>
    </row>
    <row r="6" spans="1:11" ht="14.4" x14ac:dyDescent="0.3">
      <c r="A6" s="4">
        <v>3</v>
      </c>
      <c r="B6" s="27" t="s">
        <v>78</v>
      </c>
      <c r="C6" s="5">
        <f>EVALUACION1!$C$21</f>
        <v>6</v>
      </c>
      <c r="D6" s="5">
        <f>C55</f>
        <v>7</v>
      </c>
      <c r="E6" s="6">
        <f t="shared" si="0"/>
        <v>6.25</v>
      </c>
      <c r="G6" s="1"/>
    </row>
    <row r="11" spans="1:11" ht="18" outlineLevel="1" x14ac:dyDescent="0.3">
      <c r="A11" s="69" t="s">
        <v>58</v>
      </c>
      <c r="B11" s="14"/>
      <c r="C11" s="61" t="s">
        <v>60</v>
      </c>
      <c r="D11" s="62" t="s">
        <v>61</v>
      </c>
      <c r="E11" s="63"/>
      <c r="F11" s="63"/>
      <c r="G11" s="63"/>
      <c r="H11" s="63"/>
      <c r="I11" s="63"/>
      <c r="J11" s="63"/>
      <c r="K11" s="64"/>
    </row>
    <row r="12" spans="1:11" ht="14.4" outlineLevel="1" x14ac:dyDescent="0.3">
      <c r="A12" s="67"/>
      <c r="B12" s="24" t="s">
        <v>62</v>
      </c>
      <c r="C12" s="54"/>
      <c r="D12" s="62" t="s">
        <v>63</v>
      </c>
      <c r="E12" s="64"/>
      <c r="F12" s="62" t="s">
        <v>64</v>
      </c>
      <c r="G12" s="64"/>
      <c r="H12" s="65" t="s">
        <v>65</v>
      </c>
      <c r="I12" s="64"/>
      <c r="J12" s="62" t="s">
        <v>6</v>
      </c>
      <c r="K12" s="64"/>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74</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5">
      <c r="A20" s="67"/>
      <c r="B20" s="29" t="s">
        <v>66</v>
      </c>
      <c r="C20" s="33">
        <f>E20+G20+I20+K20</f>
        <v>64.5</v>
      </c>
      <c r="D20" s="19"/>
      <c r="E20" s="19">
        <f>SUM(E13:E19)</f>
        <v>60</v>
      </c>
      <c r="F20" s="19"/>
      <c r="G20" s="19">
        <f>SUM(G13:G19)</f>
        <v>0</v>
      </c>
      <c r="H20" s="19"/>
      <c r="I20" s="19">
        <f>SUM(I13:I19)</f>
        <v>4.5</v>
      </c>
      <c r="J20" s="19"/>
      <c r="K20" s="19">
        <f>SUM(K13:K19)</f>
        <v>0</v>
      </c>
    </row>
    <row r="21" spans="1:11" ht="15.75" customHeight="1" outlineLevel="1" x14ac:dyDescent="0.35">
      <c r="A21" s="54"/>
      <c r="B21" s="32" t="s">
        <v>67</v>
      </c>
      <c r="C21" s="20">
        <f>VLOOKUP(C20,ESCALA_IEP!A1:B152,2,FALSE)</f>
        <v>6</v>
      </c>
    </row>
    <row r="22" spans="1:11" ht="15.75" customHeight="1" x14ac:dyDescent="0.3"/>
    <row r="23" spans="1:11" ht="15.75" customHeight="1" x14ac:dyDescent="0.3"/>
    <row r="24" spans="1:11" ht="15.75" customHeight="1" x14ac:dyDescent="0.3">
      <c r="A24" s="66" t="s">
        <v>59</v>
      </c>
      <c r="B24" s="53" t="s">
        <v>68</v>
      </c>
      <c r="C24" s="55" t="str">
        <f>$B$4</f>
        <v>AGURTO CONTRERAS NICOLAS</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4" t="s">
        <v>69</v>
      </c>
      <c r="C26" s="61" t="s">
        <v>60</v>
      </c>
      <c r="D26" s="62" t="s">
        <v>61</v>
      </c>
      <c r="E26" s="63"/>
      <c r="F26" s="63"/>
      <c r="G26" s="63"/>
      <c r="H26" s="63"/>
      <c r="I26" s="63"/>
      <c r="J26" s="63"/>
      <c r="K26" s="64"/>
    </row>
    <row r="27" spans="1:11" ht="15.75" customHeight="1" x14ac:dyDescent="0.3">
      <c r="A27" s="67"/>
      <c r="B27" s="15" t="s">
        <v>62</v>
      </c>
      <c r="C27" s="54"/>
      <c r="D27" s="62" t="s">
        <v>63</v>
      </c>
      <c r="E27" s="64"/>
      <c r="F27" s="62" t="s">
        <v>64</v>
      </c>
      <c r="G27" s="64"/>
      <c r="H27" s="65" t="s">
        <v>65</v>
      </c>
      <c r="I27" s="64"/>
      <c r="J27" s="62" t="s">
        <v>6</v>
      </c>
      <c r="K27" s="64"/>
    </row>
    <row r="28" spans="1:11" ht="14.4" x14ac:dyDescent="0.3">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6" t="s">
        <v>59</v>
      </c>
      <c r="B36" s="53" t="s">
        <v>68</v>
      </c>
      <c r="C36" s="55" t="str">
        <f>B5</f>
        <v>ESPINOZA BARRERA MATIAS</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4" t="s">
        <v>69</v>
      </c>
      <c r="C38" s="61" t="s">
        <v>60</v>
      </c>
      <c r="D38" s="62" t="s">
        <v>61</v>
      </c>
      <c r="E38" s="63"/>
      <c r="F38" s="63"/>
      <c r="G38" s="63"/>
      <c r="H38" s="63"/>
      <c r="I38" s="63"/>
      <c r="J38" s="63"/>
      <c r="K38" s="64"/>
    </row>
    <row r="39" spans="1:11" ht="15.75" customHeight="1" x14ac:dyDescent="0.3">
      <c r="A39" s="67"/>
      <c r="B39" s="15" t="s">
        <v>62</v>
      </c>
      <c r="C39" s="54"/>
      <c r="D39" s="62" t="s">
        <v>63</v>
      </c>
      <c r="E39" s="64"/>
      <c r="F39" s="62" t="s">
        <v>64</v>
      </c>
      <c r="G39" s="64"/>
      <c r="H39" s="65" t="s">
        <v>65</v>
      </c>
      <c r="I39" s="64"/>
      <c r="J39" s="62" t="s">
        <v>6</v>
      </c>
      <c r="K39" s="64"/>
    </row>
    <row r="40" spans="1:11" ht="15.75" customHeight="1" x14ac:dyDescent="0.3">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6" t="s">
        <v>59</v>
      </c>
      <c r="B47" s="53" t="s">
        <v>68</v>
      </c>
      <c r="C47" s="55" t="str">
        <f>B6</f>
        <v>LUCES LARA JESUS ALEJANDRO</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4" t="s">
        <v>69</v>
      </c>
      <c r="C49" s="61" t="s">
        <v>60</v>
      </c>
      <c r="D49" s="62" t="s">
        <v>61</v>
      </c>
      <c r="E49" s="63"/>
      <c r="F49" s="63"/>
      <c r="G49" s="63"/>
      <c r="H49" s="63"/>
      <c r="I49" s="63"/>
      <c r="J49" s="63"/>
      <c r="K49" s="64"/>
    </row>
    <row r="50" spans="1:11" ht="15.75" customHeight="1" x14ac:dyDescent="0.3">
      <c r="A50" s="67"/>
      <c r="B50" s="15" t="s">
        <v>62</v>
      </c>
      <c r="C50" s="54"/>
      <c r="D50" s="62" t="s">
        <v>63</v>
      </c>
      <c r="E50" s="64"/>
      <c r="F50" s="62" t="s">
        <v>64</v>
      </c>
      <c r="G50" s="64"/>
      <c r="H50" s="65" t="s">
        <v>65</v>
      </c>
      <c r="I50" s="64"/>
      <c r="J50" s="62" t="s">
        <v>6</v>
      </c>
      <c r="K50" s="64"/>
    </row>
    <row r="51" spans="1:11" ht="15.75" customHeight="1" x14ac:dyDescent="0.3">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2025-11-26T12:25:53Z</dcterms:modified>
  <cp:category/>
  <cp:contentStatus/>
</cp:coreProperties>
</file>